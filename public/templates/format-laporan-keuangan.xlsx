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gas_Mahasiswa\PerjuanganTA\DataMitra\Pillar\"/>
    </mc:Choice>
  </mc:AlternateContent>
  <xr:revisionPtr revIDLastSave="0" documentId="13_ncr:1_{9410ABA1-50E9-4593-B094-8998C8CDB19B}" xr6:coauthVersionLast="47" xr6:coauthVersionMax="47" xr10:uidLastSave="{00000000-0000-0000-0000-000000000000}"/>
  <bookViews>
    <workbookView xWindow="-120" yWindow="-120" windowWidth="29040" windowHeight="15720" xr2:uid="{DF383049-9D74-4B79-9DD6-D1FB17513B6F}"/>
  </bookViews>
  <sheets>
    <sheet name="Laporan Posisi Keuangan" sheetId="10" r:id="rId1"/>
    <sheet name="Laporan Laba Rugi" sheetId="12" r:id="rId2"/>
    <sheet name="Referensi" sheetId="9" state="hidden" r:id="rId3"/>
  </sheets>
  <definedNames>
    <definedName name="Aset">Referensi!$C$4:$C$7</definedName>
    <definedName name="Beban">Referensi!$G$4:$G$8</definedName>
    <definedName name="Ekuitas">Referensi!$E$4:$E$5</definedName>
    <definedName name="Kelompok_Akun_Laba_Rugi">Referensi!$B$4:$B$5</definedName>
    <definedName name="Kelompok_Akun_Neraca">Referensi!$A$4:$A$6</definedName>
    <definedName name="Liabilitas">Referensi!$D$4:$D$6</definedName>
    <definedName name="Pendapatan">Referensi!$F$4:$F$6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12" l="1"/>
  <c r="D9" i="12"/>
  <c r="D32" i="10"/>
  <c r="D24" i="10"/>
  <c r="D33" i="10" s="1"/>
  <c r="D13" i="10"/>
  <c r="D33" i="12" l="1"/>
  <c r="D35" i="12" s="1"/>
</calcChain>
</file>

<file path=xl/sharedStrings.xml><?xml version="1.0" encoding="utf-8"?>
<sst xmlns="http://schemas.openxmlformats.org/spreadsheetml/2006/main" count="110" uniqueCount="92">
  <si>
    <t>Laporan Laba Rugi</t>
  </si>
  <si>
    <t>Kas &amp; bank</t>
  </si>
  <si>
    <t>Piutang Usaha</t>
  </si>
  <si>
    <t>Nilai Perolehan</t>
  </si>
  <si>
    <t>Hutang Usaha</t>
  </si>
  <si>
    <t>Hutang Pajak</t>
  </si>
  <si>
    <t>Biaya Yang Masih Harus Dibayar</t>
  </si>
  <si>
    <t>Modal Di Setor</t>
  </si>
  <si>
    <t>Laba/Rugi Ditahan</t>
  </si>
  <si>
    <t>Laba/(Rugi) Tahun Berjalan</t>
  </si>
  <si>
    <t>Penjualan</t>
  </si>
  <si>
    <t>Biaya Gaji &amp; THR</t>
  </si>
  <si>
    <t>Biaya Seragam Karyawan</t>
  </si>
  <si>
    <t>Biaya Parcel</t>
  </si>
  <si>
    <t>Biaya Telp &amp; Listrik</t>
  </si>
  <si>
    <t>Biaya Internet</t>
  </si>
  <si>
    <t>Biaya Handphone /Pulsa Direksi</t>
  </si>
  <si>
    <t>Biaya Entertaiment</t>
  </si>
  <si>
    <t>Biaya Operasi Kantor</t>
  </si>
  <si>
    <t>Biaya Keamanan &amp; Kebersihan</t>
  </si>
  <si>
    <t>Biaya ATK</t>
  </si>
  <si>
    <t>Biaya Penyusutan</t>
  </si>
  <si>
    <t>Biaya Pos dan Materai</t>
  </si>
  <si>
    <t>Biaya BBM Tol &amp; Parkir</t>
  </si>
  <si>
    <t>Biaya Pemeliharaan Kendaraan &amp; Peralatana Kantor</t>
  </si>
  <si>
    <t>Biaya Sumbangan</t>
  </si>
  <si>
    <t>Biaya Lain Lain</t>
  </si>
  <si>
    <t>Biaya Langsung Lainnya</t>
  </si>
  <si>
    <t>Pendapatan Jasa Giro</t>
  </si>
  <si>
    <t>Pajak Bunga</t>
  </si>
  <si>
    <t>Biaya Adm Bank</t>
  </si>
  <si>
    <t>Pajak Pengahasilan PPh Pasal 29</t>
  </si>
  <si>
    <t>Laporan Posisi Keuangan</t>
  </si>
  <si>
    <t>Bisa dapat</t>
  </si>
  <si>
    <t>Total Asset Lancar</t>
  </si>
  <si>
    <t>Laba kotor</t>
  </si>
  <si>
    <t>Total Asset Tetap</t>
  </si>
  <si>
    <t>Laba Usaha</t>
  </si>
  <si>
    <t>Laba Kotor - Biaya Usaha/Operasional</t>
  </si>
  <si>
    <t>Total Asset</t>
  </si>
  <si>
    <t>laba bersih Sebelum Pajak</t>
  </si>
  <si>
    <t xml:space="preserve">Laba Usaha + Pendapatan Lain-lain - Biaya Lain Lain </t>
  </si>
  <si>
    <t>Total Liabilitas</t>
  </si>
  <si>
    <t>laba bersih Setelah Pajak</t>
  </si>
  <si>
    <t>Laba Bersih Sebelum pajak - pajak penghasilan</t>
  </si>
  <si>
    <t>Total Modal</t>
  </si>
  <si>
    <t>Total Kas &amp; Setara Kas</t>
  </si>
  <si>
    <t>Total HPP</t>
  </si>
  <si>
    <t>Total pendapatan lainnya</t>
  </si>
  <si>
    <t>Total Biaya Lainnya</t>
  </si>
  <si>
    <t>Total Biaya Pajak</t>
  </si>
  <si>
    <t>kas &amp; setara kas</t>
  </si>
  <si>
    <t>aset lancar selain kas &amp; setara kas</t>
  </si>
  <si>
    <t>aset tetap</t>
  </si>
  <si>
    <t>liabilitas jangka pendek</t>
  </si>
  <si>
    <t>liabilitas jangka panjang</t>
  </si>
  <si>
    <t>modal/ekuitas</t>
  </si>
  <si>
    <t>pendapatan usaha/operasional</t>
  </si>
  <si>
    <t>beban usaha/operasional</t>
  </si>
  <si>
    <t>pendapatan lain-lain</t>
  </si>
  <si>
    <t>biaya lain-lain</t>
  </si>
  <si>
    <t>biaya pajak</t>
  </si>
  <si>
    <t>Pendapatan Usaha - HPP</t>
  </si>
  <si>
    <t>Aset</t>
  </si>
  <si>
    <t>Ekuitas</t>
  </si>
  <si>
    <t>Pendapatan</t>
  </si>
  <si>
    <t>Beban</t>
  </si>
  <si>
    <t>Liabilitas</t>
  </si>
  <si>
    <t>Lainnya</t>
  </si>
  <si>
    <t>beban harga pokok penjualan (HPP)</t>
  </si>
  <si>
    <t>Kelompok Akun Neraca</t>
  </si>
  <si>
    <t>Kelompok Akun Laba Rugi</t>
  </si>
  <si>
    <t>Total Beban Usaha</t>
  </si>
  <si>
    <t>Total Pendapatan Usaha</t>
  </si>
  <si>
    <t>Catatan</t>
  </si>
  <si>
    <t>Aset Tetap</t>
  </si>
  <si>
    <t>Akumulasi penyusustan</t>
  </si>
  <si>
    <t>Jumlah Aset</t>
  </si>
  <si>
    <t>Jumlah Liabilitas</t>
  </si>
  <si>
    <t>Jumlah Ekuitas</t>
  </si>
  <si>
    <t>Jumlah Liabilitas Dan ekuitas</t>
  </si>
  <si>
    <t>Jumlah Pendapatan</t>
  </si>
  <si>
    <t>Jumlah Beban</t>
  </si>
  <si>
    <t>Beban pajak penghasilan</t>
  </si>
  <si>
    <t>Laba(Rugi) Setelah Pajak Penghasilan</t>
  </si>
  <si>
    <t>Laba(Rugi) Sebelum Pajak Penghasilan</t>
  </si>
  <si>
    <t>Aset Lancar</t>
  </si>
  <si>
    <t>Liabilitas Jangka Pendek</t>
  </si>
  <si>
    <t>Liabilitas Jangka Panjang</t>
  </si>
  <si>
    <t>Nama Entitas</t>
  </si>
  <si>
    <t>Periode Laporan</t>
  </si>
  <si>
    <t>Hutang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</si>
</sst>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Rp-3809]* #,##0.00_-;\-[$Rp-3809]* #,##0.00_-;_-[$Rp-3809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5A164D-6C59-4142-BF93-45BC2A64E441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65DC-65E0-4FE3-97BC-8066AF30CD43}">
  <dimension ref="A1:E33"/>
  <sheetViews>
    <sheetView tabSelected="1" workbookViewId="0">
      <selection activeCell="I11" sqref="I11"/>
    </sheetView>
  </sheetViews>
  <sheetFormatPr defaultRowHeight="15" x14ac:dyDescent="0.25"/>
  <cols>
    <col min="1" max="1" width="23.5703125" customWidth="1"/>
    <col min="2" max="2" width="31.28515625" customWidth="1"/>
    <col min="3" max="3" width="9.5703125" customWidth="1"/>
    <col min="4" max="4" width="20.140625" customWidth="1"/>
    <col min="5" max="5" width="26.140625" customWidth="1"/>
  </cols>
  <sheetData>
    <row r="1" spans="1:5" x14ac:dyDescent="0.25">
      <c r="A1" s="18" t="s">
        <v>89</v>
      </c>
      <c r="B1" s="18"/>
      <c r="C1" s="18"/>
      <c r="D1" s="18"/>
      <c r="E1" s="1"/>
    </row>
    <row r="2" spans="1:5" x14ac:dyDescent="0.25">
      <c r="A2" s="19" t="s">
        <v>32</v>
      </c>
      <c r="B2" s="19"/>
      <c r="C2" s="19"/>
      <c r="D2" s="19"/>
      <c r="E2" s="10"/>
    </row>
    <row r="3" spans="1:5" x14ac:dyDescent="0.25">
      <c r="A3" s="18" t="s">
        <v>90</v>
      </c>
      <c r="B3" s="18"/>
      <c r="C3" s="18"/>
      <c r="D3" s="18"/>
      <c r="E3" s="1"/>
    </row>
    <row r="4" spans="1:5" x14ac:dyDescent="0.25">
      <c r="A4" s="15" t="s">
        <v>63</v>
      </c>
      <c r="B4" s="15"/>
      <c r="C4" s="2" t="s">
        <v>74</v>
      </c>
      <c r="D4" s="2">
        <v>2024</v>
      </c>
      <c r="E4" s="2"/>
    </row>
    <row r="5" spans="1:5" x14ac:dyDescent="0.25">
      <c r="A5" s="7" t="s">
        <v>86</v>
      </c>
      <c r="E5" s="2"/>
    </row>
    <row r="6" spans="1:5" x14ac:dyDescent="0.25">
      <c r="A6" s="11"/>
      <c r="B6" t="s">
        <v>1</v>
      </c>
      <c r="C6" s="2"/>
      <c r="D6" s="5">
        <v>1587628191</v>
      </c>
      <c r="E6" s="6"/>
    </row>
    <row r="7" spans="1:5" x14ac:dyDescent="0.25">
      <c r="A7" s="11"/>
      <c r="B7" s="6" t="s">
        <v>2</v>
      </c>
      <c r="C7" s="6"/>
      <c r="D7" s="5">
        <v>9800000</v>
      </c>
    </row>
    <row r="8" spans="1:5" x14ac:dyDescent="0.25">
      <c r="A8" s="11"/>
      <c r="B8" s="6"/>
      <c r="C8" s="6"/>
      <c r="D8" s="5"/>
    </row>
    <row r="9" spans="1:5" x14ac:dyDescent="0.25">
      <c r="A9" s="7" t="s">
        <v>75</v>
      </c>
      <c r="B9" s="6"/>
      <c r="C9" s="6"/>
    </row>
    <row r="10" spans="1:5" x14ac:dyDescent="0.25">
      <c r="A10" s="7"/>
      <c r="B10" s="6" t="s">
        <v>76</v>
      </c>
      <c r="C10" s="6"/>
      <c r="D10" s="5">
        <v>311178000</v>
      </c>
    </row>
    <row r="11" spans="1:5" x14ac:dyDescent="0.25">
      <c r="A11" s="7"/>
      <c r="B11" s="6" t="s">
        <v>3</v>
      </c>
      <c r="C11" s="6"/>
      <c r="D11" s="5">
        <v>-304673958</v>
      </c>
    </row>
    <row r="12" spans="1:5" x14ac:dyDescent="0.25">
      <c r="A12" s="6"/>
      <c r="E12" s="6"/>
    </row>
    <row r="13" spans="1:5" x14ac:dyDescent="0.25">
      <c r="A13" s="7" t="s">
        <v>77</v>
      </c>
      <c r="B13" s="6"/>
      <c r="C13" s="6"/>
      <c r="D13" s="17">
        <f>SUM(D1:INDEX(D:D,MATCH("Jumlah Aset",A:A,0)-1))</f>
        <v>1603934257</v>
      </c>
      <c r="E13" s="6"/>
    </row>
    <row r="14" spans="1:5" x14ac:dyDescent="0.25">
      <c r="A14" s="11"/>
      <c r="B14" s="6"/>
      <c r="C14" s="6"/>
      <c r="D14" s="6"/>
      <c r="E14" s="6"/>
    </row>
    <row r="15" spans="1:5" x14ac:dyDescent="0.25">
      <c r="A15" s="14" t="s">
        <v>67</v>
      </c>
    </row>
    <row r="16" spans="1:5" x14ac:dyDescent="0.25">
      <c r="A16" s="1" t="s">
        <v>87</v>
      </c>
    </row>
    <row r="17" spans="1:5" x14ac:dyDescent="0.25">
      <c r="A17" s="13"/>
      <c r="B17" t="s">
        <v>4</v>
      </c>
      <c r="D17" s="5">
        <v>1320212738</v>
      </c>
      <c r="E17" s="6"/>
    </row>
    <row r="18" spans="1:5" ht="17.25" customHeight="1" x14ac:dyDescent="0.25">
      <c r="A18" s="11"/>
      <c r="B18" t="s">
        <v>5</v>
      </c>
      <c r="D18" s="5">
        <v>15793729</v>
      </c>
    </row>
    <row r="19" spans="1:5" x14ac:dyDescent="0.25">
      <c r="B19" t="s">
        <v>6</v>
      </c>
      <c r="D19" s="5">
        <v>60000000</v>
      </c>
    </row>
    <row r="20" spans="1:5" x14ac:dyDescent="0.25">
      <c r="D20" s="5"/>
    </row>
    <row r="21" spans="1:5" x14ac:dyDescent="0.25">
      <c r="A21" s="1" t="s">
        <v>88</v>
      </c>
      <c r="E21" s="6"/>
    </row>
    <row r="22" spans="1:5" x14ac:dyDescent="0.25">
      <c r="A22" s="1"/>
      <c r="B22" t="s">
        <v>91</v>
      </c>
      <c r="D22" s="5">
        <v>30000000</v>
      </c>
      <c r="E22" s="6"/>
    </row>
    <row r="23" spans="1:5" x14ac:dyDescent="0.25">
      <c r="E23" s="6"/>
    </row>
    <row r="24" spans="1:5" x14ac:dyDescent="0.25">
      <c r="A24" s="14" t="s">
        <v>78</v>
      </c>
      <c r="B24" s="6"/>
      <c r="D24" s="16">
        <f>SUM(
INDEX(D:D,MATCH("Liabilitas",A:A,0)+1):
INDEX(D:D,MATCH("Jumlah Liabilitas",A:A,0)-1)
)</f>
        <v>1426006467</v>
      </c>
      <c r="E24" s="6"/>
    </row>
    <row r="25" spans="1:5" x14ac:dyDescent="0.25">
      <c r="E25" s="6"/>
    </row>
    <row r="26" spans="1:5" x14ac:dyDescent="0.25">
      <c r="A26" s="14" t="s">
        <v>64</v>
      </c>
      <c r="B26" s="14"/>
    </row>
    <row r="27" spans="1:5" x14ac:dyDescent="0.25">
      <c r="A27" s="11"/>
      <c r="B27" t="s">
        <v>7</v>
      </c>
      <c r="D27" s="5">
        <v>200000000</v>
      </c>
    </row>
    <row r="28" spans="1:5" x14ac:dyDescent="0.25">
      <c r="A28" s="11"/>
      <c r="B28" t="s">
        <v>8</v>
      </c>
      <c r="D28" s="5">
        <v>-433232818</v>
      </c>
    </row>
    <row r="29" spans="1:5" x14ac:dyDescent="0.25">
      <c r="B29" t="s">
        <v>9</v>
      </c>
      <c r="D29" s="5">
        <v>411158584</v>
      </c>
    </row>
    <row r="30" spans="1:5" x14ac:dyDescent="0.25">
      <c r="D30" s="5"/>
    </row>
    <row r="31" spans="1:5" x14ac:dyDescent="0.25">
      <c r="D31" s="5"/>
    </row>
    <row r="32" spans="1:5" x14ac:dyDescent="0.25">
      <c r="A32" s="14" t="s">
        <v>79</v>
      </c>
      <c r="B32" s="11"/>
      <c r="D32" s="17">
        <f>SUM(
INDEX(D:D,MATCH("Ekuitas",A:A,0)+1):
INDEX(D:D,MATCH("Jumlah Ekuitas",A:A,0)-1)
)</f>
        <v>177925766</v>
      </c>
    </row>
    <row r="33" spans="1:4" ht="30" x14ac:dyDescent="0.25">
      <c r="A33" s="13" t="s">
        <v>80</v>
      </c>
      <c r="B33" s="11"/>
      <c r="D33" s="17">
        <f>INDEX(D:D,MATCH("Jumlah Liabilitas",A:A,0))
+
INDEX(D:D,MATCH("Jumlah Ekuitas",A:A,0))</f>
        <v>1603932233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EC77-EC89-407F-BD78-921BB12670A3}">
  <dimension ref="A1:D35"/>
  <sheetViews>
    <sheetView topLeftCell="A10" workbookViewId="0">
      <selection activeCell="G16" sqref="G16"/>
    </sheetView>
  </sheetViews>
  <sheetFormatPr defaultRowHeight="15" x14ac:dyDescent="0.25"/>
  <cols>
    <col min="1" max="1" width="25.85546875" style="8" customWidth="1"/>
    <col min="2" max="2" width="25.42578125" customWidth="1"/>
    <col min="3" max="3" width="8.7109375" customWidth="1"/>
    <col min="4" max="4" width="33.42578125" customWidth="1"/>
  </cols>
  <sheetData>
    <row r="1" spans="1:4" x14ac:dyDescent="0.25">
      <c r="A1" s="18" t="s">
        <v>89</v>
      </c>
      <c r="B1" s="18"/>
      <c r="C1" s="18"/>
      <c r="D1" s="18"/>
    </row>
    <row r="2" spans="1:4" x14ac:dyDescent="0.25">
      <c r="A2" s="19" t="s">
        <v>0</v>
      </c>
      <c r="B2" s="19"/>
      <c r="C2" s="19"/>
      <c r="D2" s="19"/>
    </row>
    <row r="3" spans="1:4" x14ac:dyDescent="0.25">
      <c r="A3" s="18" t="s">
        <v>90</v>
      </c>
      <c r="B3" s="18"/>
      <c r="C3" s="18"/>
      <c r="D3" s="18"/>
    </row>
    <row r="4" spans="1:4" x14ac:dyDescent="0.25">
      <c r="A4" s="15" t="s">
        <v>65</v>
      </c>
      <c r="B4" s="15"/>
      <c r="C4" s="2" t="s">
        <v>74</v>
      </c>
      <c r="D4" s="2">
        <v>2024</v>
      </c>
    </row>
    <row r="5" spans="1:4" x14ac:dyDescent="0.25">
      <c r="A5" s="9"/>
      <c r="B5" t="s">
        <v>10</v>
      </c>
      <c r="C5" s="5"/>
      <c r="D5" s="5">
        <v>3676484627</v>
      </c>
    </row>
    <row r="6" spans="1:4" x14ac:dyDescent="0.25">
      <c r="A6" s="12"/>
      <c r="B6" t="s">
        <v>28</v>
      </c>
      <c r="C6" s="5"/>
      <c r="D6" s="5">
        <v>1518117</v>
      </c>
    </row>
    <row r="7" spans="1:4" x14ac:dyDescent="0.25">
      <c r="A7" s="12"/>
      <c r="C7" s="5"/>
      <c r="D7" s="5"/>
    </row>
    <row r="8" spans="1:4" x14ac:dyDescent="0.25">
      <c r="A8" s="12"/>
      <c r="C8" s="5"/>
      <c r="D8" s="5"/>
    </row>
    <row r="9" spans="1:4" x14ac:dyDescent="0.25">
      <c r="A9" s="13" t="s">
        <v>81</v>
      </c>
      <c r="B9" s="6"/>
      <c r="C9" s="6"/>
      <c r="D9" s="17">
        <f>SUM(INDEX(D:D,MATCH("Pendapatan",A:A,0)+1):INDEX(D:D,MATCH("Jumlah Pendapatan",A:A,0)-1))</f>
        <v>3678002744</v>
      </c>
    </row>
    <row r="10" spans="1:4" x14ac:dyDescent="0.25">
      <c r="A10" s="14" t="s">
        <v>66</v>
      </c>
      <c r="B10" s="6"/>
      <c r="C10" s="6"/>
      <c r="D10" s="6"/>
    </row>
    <row r="11" spans="1:4" x14ac:dyDescent="0.25">
      <c r="A11" s="14"/>
      <c r="B11" t="s">
        <v>27</v>
      </c>
      <c r="D11" s="5">
        <v>-2233120521</v>
      </c>
    </row>
    <row r="12" spans="1:4" x14ac:dyDescent="0.25">
      <c r="A12" s="14"/>
      <c r="B12" t="s">
        <v>11</v>
      </c>
      <c r="D12" s="5">
        <v>-802544545</v>
      </c>
    </row>
    <row r="13" spans="1:4" x14ac:dyDescent="0.25">
      <c r="B13" t="s">
        <v>12</v>
      </c>
      <c r="D13" s="5">
        <v>-12000000</v>
      </c>
    </row>
    <row r="14" spans="1:4" x14ac:dyDescent="0.25">
      <c r="B14" t="s">
        <v>13</v>
      </c>
      <c r="D14" s="5">
        <v>-10500000</v>
      </c>
    </row>
    <row r="15" spans="1:4" ht="12.75" customHeight="1" x14ac:dyDescent="0.25">
      <c r="B15" t="s">
        <v>14</v>
      </c>
      <c r="D15" s="5">
        <v>-4650000</v>
      </c>
    </row>
    <row r="16" spans="1:4" x14ac:dyDescent="0.25">
      <c r="B16" t="s">
        <v>15</v>
      </c>
      <c r="D16" s="5">
        <v>-9555000</v>
      </c>
    </row>
    <row r="17" spans="1:4" x14ac:dyDescent="0.25">
      <c r="A17" s="12"/>
      <c r="B17" t="s">
        <v>16</v>
      </c>
      <c r="D17" s="5">
        <v>-2450000</v>
      </c>
    </row>
    <row r="18" spans="1:4" x14ac:dyDescent="0.25">
      <c r="A18" s="14"/>
      <c r="B18" t="s">
        <v>17</v>
      </c>
      <c r="D18" s="5">
        <v>-4000000</v>
      </c>
    </row>
    <row r="19" spans="1:4" x14ac:dyDescent="0.25">
      <c r="A19" s="12"/>
      <c r="B19" t="s">
        <v>18</v>
      </c>
      <c r="D19" s="5">
        <v>-24400000</v>
      </c>
    </row>
    <row r="20" spans="1:4" x14ac:dyDescent="0.25">
      <c r="A20" s="12"/>
      <c r="B20" t="s">
        <v>19</v>
      </c>
      <c r="D20" s="5">
        <v>-600000</v>
      </c>
    </row>
    <row r="21" spans="1:4" x14ac:dyDescent="0.25">
      <c r="A21" s="13"/>
      <c r="B21" t="s">
        <v>20</v>
      </c>
      <c r="D21" s="5">
        <v>-2550000</v>
      </c>
    </row>
    <row r="22" spans="1:4" x14ac:dyDescent="0.25">
      <c r="A22" s="13"/>
      <c r="B22" t="s">
        <v>21</v>
      </c>
      <c r="D22" s="5">
        <v>-2432000</v>
      </c>
    </row>
    <row r="23" spans="1:4" x14ac:dyDescent="0.25">
      <c r="B23" t="s">
        <v>22</v>
      </c>
      <c r="D23" s="5">
        <v>-1500000</v>
      </c>
    </row>
    <row r="24" spans="1:4" x14ac:dyDescent="0.25">
      <c r="B24" t="s">
        <v>23</v>
      </c>
      <c r="D24" s="5">
        <v>-72680000</v>
      </c>
    </row>
    <row r="25" spans="1:4" x14ac:dyDescent="0.25">
      <c r="B25" t="s">
        <v>24</v>
      </c>
      <c r="D25" s="5">
        <v>-15500000</v>
      </c>
    </row>
    <row r="26" spans="1:4" x14ac:dyDescent="0.25">
      <c r="B26" t="s">
        <v>25</v>
      </c>
      <c r="D26" s="5">
        <v>-9600000</v>
      </c>
    </row>
    <row r="27" spans="1:4" x14ac:dyDescent="0.25">
      <c r="B27" t="s">
        <v>26</v>
      </c>
      <c r="D27" s="5">
        <v>-4500000</v>
      </c>
    </row>
    <row r="28" spans="1:4" x14ac:dyDescent="0.25">
      <c r="B28" t="s">
        <v>29</v>
      </c>
      <c r="D28" s="5">
        <v>-303623</v>
      </c>
    </row>
    <row r="29" spans="1:4" x14ac:dyDescent="0.25">
      <c r="B29" t="s">
        <v>30</v>
      </c>
      <c r="D29" s="5">
        <v>-1150000</v>
      </c>
    </row>
    <row r="30" spans="1:4" x14ac:dyDescent="0.25">
      <c r="D30" s="5"/>
    </row>
    <row r="31" spans="1:4" x14ac:dyDescent="0.25">
      <c r="D31" s="5"/>
    </row>
    <row r="32" spans="1:4" x14ac:dyDescent="0.25">
      <c r="A32" s="13" t="s">
        <v>82</v>
      </c>
      <c r="D32" s="16">
        <f>SUM(INDEX(D:D,MATCH("Beban",A:A,0)+1):INDEX(D:D,MATCH("Jumlah Beban",A:A,0)-1))</f>
        <v>-3214035689</v>
      </c>
    </row>
    <row r="33" spans="1:4" ht="30" x14ac:dyDescent="0.25">
      <c r="A33" s="13" t="s">
        <v>85</v>
      </c>
      <c r="D33" s="16">
        <f>INDEX(D:D,MATCH("Jumlah Pendapatan",A:A,0))+INDEX(D:D,MATCH("Jumlah Beban",A:A,0))</f>
        <v>463967055</v>
      </c>
    </row>
    <row r="34" spans="1:4" ht="30" x14ac:dyDescent="0.25">
      <c r="A34" s="12" t="s">
        <v>83</v>
      </c>
      <c r="B34" s="8" t="s">
        <v>31</v>
      </c>
      <c r="D34" s="5">
        <v>-52808470</v>
      </c>
    </row>
    <row r="35" spans="1:4" ht="30" x14ac:dyDescent="0.25">
      <c r="A35" s="13" t="s">
        <v>84</v>
      </c>
      <c r="D35" s="16">
        <f>INDEX(D:D,MATCH("Laba(Rugi) Sebelum Pajak Penghasilan",A:A,0))+INDEX(D:D,MATCH("Beban pajak penghasilan",A:A,0))</f>
        <v>411158585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E6AD-5BFF-492B-BE27-53AE072FA0F2}">
  <dimension ref="A1:G27"/>
  <sheetViews>
    <sheetView workbookViewId="0">
      <selection activeCell="G12" sqref="G12"/>
    </sheetView>
  </sheetViews>
  <sheetFormatPr defaultRowHeight="15" x14ac:dyDescent="0.25"/>
  <cols>
    <col min="1" max="1" width="23" customWidth="1"/>
    <col min="2" max="2" width="26" customWidth="1"/>
    <col min="3" max="3" width="33.7109375" customWidth="1"/>
    <col min="4" max="4" width="31.28515625" customWidth="1"/>
    <col min="5" max="5" width="23.85546875" customWidth="1"/>
    <col min="6" max="6" width="30.42578125" customWidth="1"/>
    <col min="7" max="7" width="35.28515625" customWidth="1"/>
  </cols>
  <sheetData>
    <row r="1" spans="1:7" x14ac:dyDescent="0.25">
      <c r="D1" s="4"/>
      <c r="E1" s="4"/>
    </row>
    <row r="2" spans="1:7" x14ac:dyDescent="0.25">
      <c r="D2" s="4"/>
      <c r="E2" s="4"/>
    </row>
    <row r="3" spans="1:7" x14ac:dyDescent="0.25">
      <c r="A3" s="2" t="s">
        <v>70</v>
      </c>
      <c r="B3" s="2" t="s">
        <v>71</v>
      </c>
      <c r="C3" s="2" t="s">
        <v>63</v>
      </c>
      <c r="D3" s="3" t="s">
        <v>67</v>
      </c>
      <c r="E3" s="3" t="s">
        <v>64</v>
      </c>
      <c r="F3" s="2" t="s">
        <v>65</v>
      </c>
      <c r="G3" s="2" t="s">
        <v>66</v>
      </c>
    </row>
    <row r="4" spans="1:7" ht="15" customHeight="1" x14ac:dyDescent="0.25">
      <c r="A4" s="4" t="s">
        <v>63</v>
      </c>
      <c r="B4" s="4" t="s">
        <v>65</v>
      </c>
      <c r="C4" s="4" t="s">
        <v>51</v>
      </c>
      <c r="D4" s="4" t="s">
        <v>54</v>
      </c>
      <c r="E4" s="4" t="s">
        <v>56</v>
      </c>
      <c r="F4" s="4" t="s">
        <v>57</v>
      </c>
      <c r="G4" s="4" t="s">
        <v>69</v>
      </c>
    </row>
    <row r="5" spans="1:7" ht="18" customHeight="1" x14ac:dyDescent="0.25">
      <c r="A5" s="4" t="s">
        <v>67</v>
      </c>
      <c r="B5" s="4" t="s">
        <v>66</v>
      </c>
      <c r="C5" s="4" t="s">
        <v>52</v>
      </c>
      <c r="D5" s="4" t="s">
        <v>55</v>
      </c>
      <c r="E5" s="4" t="s">
        <v>68</v>
      </c>
      <c r="F5" s="4" t="s">
        <v>59</v>
      </c>
      <c r="G5" s="4" t="s">
        <v>58</v>
      </c>
    </row>
    <row r="6" spans="1:7" x14ac:dyDescent="0.25">
      <c r="A6" s="4" t="s">
        <v>64</v>
      </c>
      <c r="C6" s="4" t="s">
        <v>53</v>
      </c>
      <c r="D6" s="4" t="s">
        <v>68</v>
      </c>
      <c r="E6" s="4"/>
      <c r="F6" s="4" t="s">
        <v>68</v>
      </c>
      <c r="G6" s="4" t="s">
        <v>60</v>
      </c>
    </row>
    <row r="7" spans="1:7" x14ac:dyDescent="0.25">
      <c r="C7" s="4" t="s">
        <v>68</v>
      </c>
      <c r="D7" s="4"/>
      <c r="E7" s="4"/>
      <c r="G7" s="4" t="s">
        <v>61</v>
      </c>
    </row>
    <row r="8" spans="1:7" x14ac:dyDescent="0.25">
      <c r="D8" s="4"/>
      <c r="E8" s="4"/>
      <c r="G8" s="4" t="s">
        <v>68</v>
      </c>
    </row>
    <row r="9" spans="1:7" x14ac:dyDescent="0.25">
      <c r="D9" s="4"/>
      <c r="E9" s="4"/>
    </row>
    <row r="10" spans="1:7" x14ac:dyDescent="0.25">
      <c r="B10" s="3"/>
      <c r="C10" s="3"/>
      <c r="D10" s="3"/>
      <c r="E10" s="4"/>
    </row>
    <row r="11" spans="1:7" x14ac:dyDescent="0.25">
      <c r="B11" s="4"/>
      <c r="D11" s="4"/>
      <c r="E11" s="4"/>
    </row>
    <row r="12" spans="1:7" x14ac:dyDescent="0.25">
      <c r="B12" s="4"/>
      <c r="D12" s="4"/>
      <c r="E12" s="4"/>
    </row>
    <row r="13" spans="1:7" ht="12.75" customHeight="1" x14ac:dyDescent="0.25">
      <c r="B13" s="4"/>
      <c r="D13" s="4"/>
      <c r="E13" s="4"/>
    </row>
    <row r="14" spans="1:7" x14ac:dyDescent="0.25">
      <c r="A14" s="1" t="s">
        <v>33</v>
      </c>
      <c r="B14" s="1"/>
      <c r="C14" s="1" t="s">
        <v>33</v>
      </c>
      <c r="D14" s="1"/>
      <c r="E14" s="4"/>
    </row>
    <row r="15" spans="1:7" x14ac:dyDescent="0.25">
      <c r="A15" s="1" t="s">
        <v>46</v>
      </c>
      <c r="B15" s="1"/>
      <c r="C15" s="1" t="s">
        <v>73</v>
      </c>
      <c r="E15" s="4"/>
    </row>
    <row r="16" spans="1:7" x14ac:dyDescent="0.25">
      <c r="A16" s="1" t="s">
        <v>34</v>
      </c>
      <c r="B16" s="1"/>
      <c r="C16" s="1" t="s">
        <v>47</v>
      </c>
      <c r="E16" s="4"/>
    </row>
    <row r="17" spans="1:5" x14ac:dyDescent="0.25">
      <c r="A17" s="1" t="s">
        <v>36</v>
      </c>
      <c r="B17" s="1"/>
      <c r="C17" s="1" t="s">
        <v>72</v>
      </c>
      <c r="E17" s="4"/>
    </row>
    <row r="18" spans="1:5" x14ac:dyDescent="0.25">
      <c r="A18" s="1" t="s">
        <v>39</v>
      </c>
      <c r="B18" s="1"/>
      <c r="C18" s="1" t="s">
        <v>48</v>
      </c>
      <c r="E18" s="4"/>
    </row>
    <row r="19" spans="1:5" x14ac:dyDescent="0.25">
      <c r="A19" s="1" t="s">
        <v>42</v>
      </c>
      <c r="B19" s="1"/>
      <c r="C19" s="1" t="s">
        <v>49</v>
      </c>
    </row>
    <row r="20" spans="1:5" x14ac:dyDescent="0.25">
      <c r="A20" s="1" t="s">
        <v>45</v>
      </c>
      <c r="B20" s="1"/>
      <c r="C20" s="1" t="s">
        <v>50</v>
      </c>
    </row>
    <row r="21" spans="1:5" x14ac:dyDescent="0.25">
      <c r="C21" s="1" t="s">
        <v>35</v>
      </c>
      <c r="D21" s="1" t="s">
        <v>62</v>
      </c>
    </row>
    <row r="22" spans="1:5" x14ac:dyDescent="0.25">
      <c r="C22" s="1" t="s">
        <v>37</v>
      </c>
      <c r="D22" s="1" t="s">
        <v>38</v>
      </c>
    </row>
    <row r="23" spans="1:5" x14ac:dyDescent="0.25">
      <c r="C23" s="1" t="s">
        <v>40</v>
      </c>
      <c r="D23" s="1" t="s">
        <v>41</v>
      </c>
    </row>
    <row r="24" spans="1:5" x14ac:dyDescent="0.25">
      <c r="C24" s="1" t="s">
        <v>43</v>
      </c>
      <c r="D24" s="1" t="s">
        <v>44</v>
      </c>
    </row>
    <row r="25" spans="1:5" x14ac:dyDescent="0.25">
      <c r="B25" s="4"/>
      <c r="C25" s="4"/>
    </row>
    <row r="26" spans="1:5" x14ac:dyDescent="0.25">
      <c r="B26" s="4"/>
      <c r="C26" s="4"/>
    </row>
    <row r="27" spans="1:5" x14ac:dyDescent="0.25">
      <c r="B27" s="4"/>
      <c r="C27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74cf7d-bba2-4cbc-b403-3ef2ddfe93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3A57EE1A1B14882EA973FF70BBDA2" ma:contentTypeVersion="13" ma:contentTypeDescription="Create a new document." ma:contentTypeScope="" ma:versionID="b5f31d7e7a72b28955c7b8beaa2ffce2">
  <xsd:schema xmlns:xsd="http://www.w3.org/2001/XMLSchema" xmlns:xs="http://www.w3.org/2001/XMLSchema" xmlns:p="http://schemas.microsoft.com/office/2006/metadata/properties" xmlns:ns3="1074cf7d-bba2-4cbc-b403-3ef2ddfe93c2" xmlns:ns4="244e6e51-3bc9-4dbb-8169-994db43b9b0f" targetNamespace="http://schemas.microsoft.com/office/2006/metadata/properties" ma:root="true" ma:fieldsID="47a531d1ac2482affb236831a8cf9253" ns3:_="" ns4:_="">
    <xsd:import namespace="1074cf7d-bba2-4cbc-b403-3ef2ddfe93c2"/>
    <xsd:import namespace="244e6e51-3bc9-4dbb-8169-994db43b9b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4cf7d-bba2-4cbc-b403-3ef2ddfe9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e6e51-3bc9-4dbb-8169-994db43b9b0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F5ED34-EB33-49FC-A9D0-2F81055A83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E1DE6-388B-4DD6-B3B0-42461DE4F539}">
  <ds:schemaRefs>
    <ds:schemaRef ds:uri="http://schemas.microsoft.com/office/2006/metadata/properties"/>
    <ds:schemaRef ds:uri="http://purl.org/dc/terms/"/>
    <ds:schemaRef ds:uri="http://purl.org/dc/elements/1.1/"/>
    <ds:schemaRef ds:uri="1074cf7d-bba2-4cbc-b403-3ef2ddfe93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44e6e51-3bc9-4dbb-8169-994db43b9b0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A78754-AC42-4E63-A28F-FE0317074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74cf7d-bba2-4cbc-b403-3ef2ddfe93c2"/>
    <ds:schemaRef ds:uri="244e6e51-3bc9-4dbb-8169-994db43b9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Laporan Posisi Keuangan</vt:lpstr>
      <vt:lpstr>Laporan Laba Rugi</vt:lpstr>
      <vt:lpstr>Referensi</vt:lpstr>
      <vt:lpstr>Aset</vt:lpstr>
      <vt:lpstr>Beban</vt:lpstr>
      <vt:lpstr>Ekuitas</vt:lpstr>
      <vt:lpstr>Kelompok_Akun_Laba_Rugi</vt:lpstr>
      <vt:lpstr>Kelompok_Akun_Neraca</vt:lpstr>
      <vt:lpstr>Liabilitas</vt:lpstr>
      <vt:lpstr>Pendapatan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SULTHAN AULIA RAHMAN</dc:creator>
  <cp:keywords/>
  <dc:description/>
  <cp:lastModifiedBy>SULTHAN AULIA RAHMAN</cp:lastModifiedBy>
  <cp:revision/>
  <dcterms:created xsi:type="dcterms:W3CDTF">2026-07-23T09:16:53Z</dcterms:created>
  <dcterms:modified xsi:type="dcterms:W3CDTF">2026-09-07T13:37:47Z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0x0101001A53A57EE1A1B14882EA973FF70BBDA2</vt:lpwstr>
  </property>
</Properties>
</file>