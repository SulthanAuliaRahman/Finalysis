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Posisi Keuangan"/>
    <sheet r:id="rId2" sheetId="2" name="Laba Rugi"/>
    <sheet r:id="rId3" sheetId="3" name="Referensi"/>
  </sheets>
  <definedNames>
    <definedName name="Aset">Referensi!$C$4:$C$7</definedName>
    <definedName name="Beban">Referensi!$G$4:$G$8</definedName>
    <definedName name="Ekuitas">Referensi!$E$4:$E$5</definedName>
    <definedName name="Kelompok_Akun_Laba_Rugi">Referensi!$B$4:$B$5</definedName>
    <definedName name="Kelompok_Akun_Neraca">Referensi!$A$4:$A$6</definedName>
    <definedName name="Liabilitas">Referensi!$D$4:$D$6</definedName>
    <definedName name="Pendapatan">Referensi!$F$4:$F$6</definedName>
  </definedNames>
  <calcPr fullCalcOnLoad="1"/>
</workbook>
</file>

<file path=xl/sharedStrings.xml><?xml version="1.0" encoding="utf-8"?>
<sst xmlns="http://schemas.openxmlformats.org/spreadsheetml/2006/main" count="110" uniqueCount="92">
  <si>
    <t>Kelompok Akun Neraca</t>
  </si>
  <si>
    <t>Kelompok Akun Laba Rugi</t>
  </si>
  <si>
    <t>Aset</t>
  </si>
  <si>
    <t>Liabilitas</t>
  </si>
  <si>
    <t>Ekuitas</t>
  </si>
  <si>
    <t>Pendapatan</t>
  </si>
  <si>
    <t>Beban</t>
  </si>
  <si>
    <t>kas &amp; setara kas</t>
  </si>
  <si>
    <t>liabilitas jangka pendek</t>
  </si>
  <si>
    <t>modal/ekuitas</t>
  </si>
  <si>
    <t>pendapatan usaha/operasional</t>
  </si>
  <si>
    <t>beban harga pokok penjualan (HPP)</t>
  </si>
  <si>
    <t>aset lancar selain kas &amp; setara kas</t>
  </si>
  <si>
    <t>liabilitas jangka panjang</t>
  </si>
  <si>
    <t>Lainnya</t>
  </si>
  <si>
    <t>pendapatan lain-lain</t>
  </si>
  <si>
    <t>beban usaha/operasional</t>
  </si>
  <si>
    <t>aset tetap</t>
  </si>
  <si>
    <t>biaya lain-lain</t>
  </si>
  <si>
    <t>biaya pajak</t>
  </si>
  <si>
    <t>Bisa dapat</t>
  </si>
  <si>
    <t>Total Kas &amp; Setara Kas</t>
  </si>
  <si>
    <t>Total Pendapatan Usaha</t>
  </si>
  <si>
    <t>Total Asset Lancar</t>
  </si>
  <si>
    <t>Total HPP</t>
  </si>
  <si>
    <t>Total Asset Tetap</t>
  </si>
  <si>
    <t>Total Beban Usaha</t>
  </si>
  <si>
    <t>Total Asset</t>
  </si>
  <si>
    <t>Total pendapatan lainnya</t>
  </si>
  <si>
    <t>Total Liabilitas</t>
  </si>
  <si>
    <t>Total Biaya Lainnya</t>
  </si>
  <si>
    <t>Total Modal</t>
  </si>
  <si>
    <t>Total Biaya Pajak</t>
  </si>
  <si>
    <t>Laba kotor</t>
  </si>
  <si>
    <t>Pendapatan Usaha - HPP</t>
  </si>
  <si>
    <t>Laba Usaha</t>
  </si>
  <si>
    <t>Laba Kotor - Biaya Usaha/Operasional</t>
  </si>
  <si>
    <t>laba bersih Sebelum Pajak</t>
  </si>
  <si>
    <t xml:space="preserve">Laba Usaha + Pendapatan Lain-lain - Biaya Lain Lain </t>
  </si>
  <si>
    <t>laba bersih Setelah Pajak</t>
  </si>
  <si>
    <t>Laba Bersih Sebelum pajak - pajak penghasilan</t>
  </si>
  <si>
    <t>Nama Entitas</t>
  </si>
  <si>
    <t>Laporan Laba Rugi</t>
  </si>
  <si>
    <t>Periode Laporan</t>
  </si>
  <si>
    <t>Catatan</t>
  </si>
  <si>
    <t>Penjualan</t>
  </si>
  <si>
    <t>Pendapatan Jasa Giro</t>
  </si>
  <si>
    <t>Jumlah Pendapatan</t>
  </si>
  <si>
    <t>Biaya Langsung Lainnya</t>
  </si>
  <si>
    <t>Biaya Gaji &amp; THR</t>
  </si>
  <si>
    <t>Biaya Seragam Karyawan</t>
  </si>
  <si>
    <t>Biaya Parcel</t>
  </si>
  <si>
    <t>Biaya Telp &amp; Listrik</t>
  </si>
  <si>
    <t>Biaya Internet</t>
  </si>
  <si>
    <t>Biaya Handphone /Pulsa Direksi</t>
  </si>
  <si>
    <t>Biaya Entertaiment</t>
  </si>
  <si>
    <t>Biaya Operasi Kantor</t>
  </si>
  <si>
    <t>Biaya Keamanan &amp; Kebersihan</t>
  </si>
  <si>
    <t>Biaya ATK</t>
  </si>
  <si>
    <t>Biaya Penyusutan</t>
  </si>
  <si>
    <t>Biaya Pos dan Materai</t>
  </si>
  <si>
    <t>Biaya BBM Tol &amp; Parkir</t>
  </si>
  <si>
    <t>Biaya Pemeliharaan Kendaraan &amp; Peralatana Kantor</t>
  </si>
  <si>
    <t>Biaya Sumbangan</t>
  </si>
  <si>
    <t>Biaya Lain Lain</t>
  </si>
  <si>
    <t>Pajak Bunga</t>
  </si>
  <si>
    <t>Biaya Adm Bank</t>
  </si>
  <si>
    <t>Jumlah Beban</t>
  </si>
  <si>
    <t>Laba(Rugi) Sebelum Pajak Penghasilan</t>
  </si>
  <si>
    <t>Beban pajak</t>
  </si>
  <si>
    <t>Pajak Pengahasilan PPh Pasal 28</t>
  </si>
  <si>
    <t>Laba(Rugi) Setelah Pajak Penghasilan</t>
  </si>
  <si>
    <t>Laporan Posisi Keuangan</t>
  </si>
  <si>
    <t>Aset Lancar</t>
  </si>
  <si>
    <t>Kas &amp; bank</t>
  </si>
  <si>
    <t>Piutang Usaha</t>
  </si>
  <si>
    <t>Aset Tetap</t>
  </si>
  <si>
    <t>Akumulasi penyusustan</t>
  </si>
  <si>
    <t>Nilai Perolehan</t>
  </si>
  <si>
    <t>Jumlah Aset</t>
  </si>
  <si>
    <t>Liabilitas Jangka Pendek</t>
  </si>
  <si>
    <t>Hutang Usaha</t>
  </si>
  <si>
    <t>Hutang Pajak</t>
  </si>
  <si>
    <t>Biaya Yang Masih Harus Dibayar</t>
  </si>
  <si>
    <t>Liabilitas Jangka Panjang</t>
  </si>
  <si>
    <t>Hutang Bank</t>
  </si>
  <si>
    <t>Jumlah Liabilitas</t>
  </si>
  <si>
    <t>Modal Di Setor</t>
  </si>
  <si>
    <t>Laba/Rugi Ditahan</t>
  </si>
  <si>
    <t>Laba/(Rugi) Tahun Berjalan</t>
  </si>
  <si>
    <t>Jumlah Ekuitas</t>
  </si>
  <si>
    <t>Jumlah Liabilitas Dan ekuitas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</si>
</sst>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center" wrapText="1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 wrapText="1"/>
    </xf>
    <xf xfId="0" numFmtId="7" applyNumberFormat="1" borderId="1" applyBorder="1" fontId="3" applyFont="1" fillId="0" applyAlignment="1">
      <alignment horizontal="center"/>
    </xf>
    <xf xfId="0" numFmtId="7" applyNumberFormat="1" borderId="1" applyBorder="1" fontId="3" applyFont="1" fillId="0" applyAlignment="1">
      <alignment horizontal="center" wrapText="1"/>
    </xf>
    <xf xfId="0" numFmtId="0" borderId="1" applyBorder="1" fontId="3" applyFont="1" fillId="0" applyAlignment="1">
      <alignment horizontal="left" wrapText="1"/>
    </xf>
    <xf xfId="0" numFmtId="3" applyNumberFormat="1" borderId="1" applyBorder="1" fontId="3" applyFont="1" fillId="0" applyAlignment="1">
      <alignment horizontal="center"/>
    </xf>
    <xf xfId="0" numFmtId="7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7" applyNumberFormat="1" borderId="1" applyBorder="1" fontId="2" applyFont="1" fillId="0" applyAlignment="1">
      <alignment horizontal="left"/>
    </xf>
    <xf xfId="0" numFmtId="0" borderId="0" fontId="0" fillId="0" applyAlignment="1">
      <alignment horizontal="left" wrapText="1"/>
    </xf>
    <xf xfId="0" numFmtId="7" applyNumberFormat="1" borderId="0" fontId="0" fillId="0" applyAlignment="1">
      <alignment horizontal="right"/>
    </xf>
    <xf xfId="0" numFmtId="7" applyNumberFormat="1" borderId="1" applyBorder="1" fontId="1" applyFont="1" fillId="0" applyAlignment="1">
      <alignment horizontal="left"/>
    </xf>
    <xf xfId="0" numFmtId="7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6"/>
  <sheetViews>
    <sheetView workbookViewId="0"/>
  </sheetViews>
  <sheetFormatPr defaultRowHeight="15" x14ac:dyDescent="0.25"/>
  <cols>
    <col min="1" max="1" style="10" width="23.576428571428572" customWidth="1" bestFit="1"/>
    <col min="2" max="2" style="9" width="31.290714285714284" customWidth="1" bestFit="1"/>
    <col min="3" max="3" style="9" width="9.576428571428572" customWidth="1" bestFit="1"/>
    <col min="4" max="4" style="22" width="20.14785714285714" customWidth="1" bestFit="1"/>
    <col min="5" max="5" style="9" width="26.14785714285714" customWidth="1" bestFit="1"/>
  </cols>
  <sheetData>
    <row x14ac:dyDescent="0.25" r="1" customHeight="1" ht="18.75">
      <c r="A1" s="4" t="s">
        <v>41</v>
      </c>
      <c r="B1" s="4"/>
      <c r="C1" s="4"/>
      <c r="D1" s="12"/>
      <c r="E1" s="6"/>
    </row>
    <row x14ac:dyDescent="0.25" r="2" customHeight="1" ht="18.75" customFormat="1" s="1">
      <c r="A2" s="5" t="s">
        <v>72</v>
      </c>
      <c r="B2" s="5"/>
      <c r="C2" s="5"/>
      <c r="D2" s="13"/>
      <c r="E2" s="14"/>
    </row>
    <row x14ac:dyDescent="0.25" r="3" customHeight="1" ht="18.75">
      <c r="A3" s="4" t="s">
        <v>43</v>
      </c>
      <c r="B3" s="4"/>
      <c r="C3" s="4"/>
      <c r="D3" s="12"/>
      <c r="E3" s="6"/>
    </row>
    <row x14ac:dyDescent="0.25" r="4" customHeight="1" ht="18.75">
      <c r="A4" s="6" t="s">
        <v>2</v>
      </c>
      <c r="B4" s="6"/>
      <c r="C4" s="4" t="s">
        <v>44</v>
      </c>
      <c r="D4" s="15">
        <v>2024</v>
      </c>
      <c r="E4" s="4"/>
    </row>
    <row x14ac:dyDescent="0.25" r="5" customHeight="1" ht="18.75">
      <c r="A5" s="6" t="s">
        <v>73</v>
      </c>
      <c r="B5" s="7"/>
      <c r="C5" s="7"/>
      <c r="D5" s="21"/>
      <c r="E5" s="4"/>
    </row>
    <row x14ac:dyDescent="0.25" r="6" customHeight="1" ht="19.5">
      <c r="A6" s="8"/>
      <c r="B6" s="7" t="s">
        <v>74</v>
      </c>
      <c r="C6" s="4"/>
      <c r="D6" s="16">
        <v>1587628191</v>
      </c>
      <c r="E6" s="17"/>
    </row>
    <row x14ac:dyDescent="0.25" r="7" customHeight="1" ht="19.5">
      <c r="A7" s="8"/>
      <c r="B7" s="17" t="s">
        <v>75</v>
      </c>
      <c r="C7" s="17"/>
      <c r="D7" s="16">
        <v>9800000</v>
      </c>
      <c r="E7" s="7"/>
    </row>
    <row x14ac:dyDescent="0.25" r="8" customHeight="1" ht="19.5">
      <c r="A8" s="8"/>
      <c r="B8" s="17"/>
      <c r="C8" s="17"/>
      <c r="D8" s="16"/>
      <c r="E8" s="7"/>
    </row>
    <row x14ac:dyDescent="0.25" r="9" customHeight="1" ht="19.5">
      <c r="A9" s="8"/>
      <c r="B9" s="17"/>
      <c r="C9" s="17"/>
      <c r="D9" s="16"/>
      <c r="E9" s="7"/>
    </row>
    <row x14ac:dyDescent="0.25" r="10" customHeight="1" ht="19.5">
      <c r="A10" s="6" t="s">
        <v>76</v>
      </c>
      <c r="B10" s="17"/>
      <c r="C10" s="17"/>
      <c r="D10" s="21"/>
      <c r="E10" s="7"/>
    </row>
    <row x14ac:dyDescent="0.25" r="11" customHeight="1" ht="19.5">
      <c r="A11" s="6"/>
      <c r="B11" s="17" t="s">
        <v>77</v>
      </c>
      <c r="C11" s="17"/>
      <c r="D11" s="16">
        <v>311178000</v>
      </c>
      <c r="E11" s="7"/>
    </row>
    <row x14ac:dyDescent="0.25" r="12" customHeight="1" ht="19.5">
      <c r="A12" s="6"/>
      <c r="B12" s="17" t="s">
        <v>78</v>
      </c>
      <c r="C12" s="17"/>
      <c r="D12" s="16">
        <v>-304673958</v>
      </c>
      <c r="E12" s="7"/>
    </row>
    <row x14ac:dyDescent="0.25" r="13" customHeight="1" ht="19.5">
      <c r="A13" s="17"/>
      <c r="B13" s="7"/>
      <c r="C13" s="7"/>
      <c r="D13" s="21"/>
      <c r="E13" s="17"/>
    </row>
    <row x14ac:dyDescent="0.25" r="14" customHeight="1" ht="19.5">
      <c r="A14" s="17"/>
      <c r="B14" s="7"/>
      <c r="C14" s="7"/>
      <c r="D14" s="21"/>
      <c r="E14" s="17"/>
    </row>
    <row x14ac:dyDescent="0.25" r="15" customHeight="1" ht="19.5">
      <c r="A15" s="6" t="s">
        <v>79</v>
      </c>
      <c r="B15" s="17"/>
      <c r="C15" s="17"/>
      <c r="D15" s="18">
        <f>SUM(D1:INDEX(D:D,MATCH("Jumlah Aset",A:A,0)-1))</f>
      </c>
      <c r="E15" s="17"/>
    </row>
    <row x14ac:dyDescent="0.25" r="16" customHeight="1" ht="19.5">
      <c r="A16" s="8"/>
      <c r="B16" s="17"/>
      <c r="C16" s="17"/>
      <c r="D16" s="18"/>
      <c r="E16" s="17"/>
    </row>
    <row x14ac:dyDescent="0.25" r="17" customHeight="1" ht="18.75">
      <c r="A17" s="6" t="s">
        <v>3</v>
      </c>
      <c r="B17" s="7"/>
      <c r="C17" s="7"/>
      <c r="D17" s="21"/>
      <c r="E17" s="7"/>
    </row>
    <row x14ac:dyDescent="0.25" r="18" customHeight="1" ht="18.75">
      <c r="A18" s="6" t="s">
        <v>80</v>
      </c>
      <c r="B18" s="7"/>
      <c r="C18" s="7"/>
      <c r="D18" s="21"/>
      <c r="E18" s="7"/>
    </row>
    <row x14ac:dyDescent="0.25" r="19" customHeight="1" ht="19.5">
      <c r="A19" s="14"/>
      <c r="B19" s="7" t="s">
        <v>81</v>
      </c>
      <c r="C19" s="7"/>
      <c r="D19" s="16">
        <v>1320212738</v>
      </c>
      <c r="E19" s="17"/>
    </row>
    <row x14ac:dyDescent="0.25" r="20" customHeight="1" ht="19.5">
      <c r="A20" s="8"/>
      <c r="B20" s="7" t="s">
        <v>82</v>
      </c>
      <c r="C20" s="7"/>
      <c r="D20" s="16">
        <v>15793729</v>
      </c>
      <c r="E20" s="7"/>
    </row>
    <row x14ac:dyDescent="0.25" r="21" customHeight="1" ht="19.5">
      <c r="A21" s="8"/>
      <c r="B21" s="7" t="s">
        <v>83</v>
      </c>
      <c r="C21" s="7"/>
      <c r="D21" s="16">
        <v>60000000</v>
      </c>
      <c r="E21" s="7"/>
    </row>
    <row x14ac:dyDescent="0.25" r="22" customHeight="1" ht="19.5">
      <c r="A22" s="8"/>
      <c r="B22" s="7"/>
      <c r="C22" s="7"/>
      <c r="D22" s="16"/>
      <c r="E22" s="7"/>
    </row>
    <row x14ac:dyDescent="0.25" r="23" customHeight="1" ht="19.5">
      <c r="A23" s="6" t="s">
        <v>84</v>
      </c>
      <c r="B23" s="7"/>
      <c r="C23" s="7"/>
      <c r="D23" s="21"/>
      <c r="E23" s="17"/>
    </row>
    <row x14ac:dyDescent="0.25" r="24" customHeight="1" ht="19.5">
      <c r="A24" s="6"/>
      <c r="B24" s="7" t="s">
        <v>85</v>
      </c>
      <c r="C24" s="7"/>
      <c r="D24" s="16">
        <v>30000000</v>
      </c>
      <c r="E24" s="17"/>
    </row>
    <row x14ac:dyDescent="0.25" r="25" customHeight="1" ht="19.5">
      <c r="A25" s="8"/>
      <c r="B25" s="7"/>
      <c r="C25" s="7"/>
      <c r="D25" s="21"/>
      <c r="E25" s="17"/>
    </row>
    <row x14ac:dyDescent="0.25" r="26" customHeight="1" ht="19.5">
      <c r="A26" s="8"/>
      <c r="B26" s="7"/>
      <c r="C26" s="7"/>
      <c r="D26" s="21"/>
      <c r="E26" s="17"/>
    </row>
    <row x14ac:dyDescent="0.25" r="27" customHeight="1" ht="19.5">
      <c r="A27" s="6" t="s">
        <v>86</v>
      </c>
      <c r="B27" s="17"/>
      <c r="C27" s="7"/>
      <c r="D27" s="16">
        <v>1426006467</v>
      </c>
      <c r="E27" s="17"/>
    </row>
    <row x14ac:dyDescent="0.25" r="28" customHeight="1" ht="19.5">
      <c r="A28" s="8"/>
      <c r="B28" s="7"/>
      <c r="C28" s="7"/>
      <c r="D28" s="21"/>
      <c r="E28" s="17"/>
    </row>
    <row x14ac:dyDescent="0.25" r="29" customHeight="1" ht="18.75">
      <c r="A29" s="6" t="s">
        <v>4</v>
      </c>
      <c r="B29" s="6"/>
      <c r="C29" s="7"/>
      <c r="D29" s="21"/>
      <c r="E29" s="7"/>
    </row>
    <row x14ac:dyDescent="0.25" r="30" customHeight="1" ht="19.5">
      <c r="A30" s="8"/>
      <c r="B30" s="7" t="s">
        <v>87</v>
      </c>
      <c r="C30" s="7"/>
      <c r="D30" s="16">
        <v>200000000</v>
      </c>
      <c r="E30" s="7"/>
    </row>
    <row x14ac:dyDescent="0.25" r="31" customHeight="1" ht="19.5">
      <c r="A31" s="8"/>
      <c r="B31" s="7" t="s">
        <v>88</v>
      </c>
      <c r="C31" s="7"/>
      <c r="D31" s="16">
        <v>-433232818</v>
      </c>
      <c r="E31" s="7"/>
    </row>
    <row x14ac:dyDescent="0.25" r="32" customHeight="1" ht="19.5">
      <c r="A32" s="8"/>
      <c r="B32" s="7" t="s">
        <v>89</v>
      </c>
      <c r="C32" s="7"/>
      <c r="D32" s="16">
        <v>411158584</v>
      </c>
      <c r="E32" s="7"/>
    </row>
    <row x14ac:dyDescent="0.25" r="33" customHeight="1" ht="19.5">
      <c r="A33" s="8"/>
      <c r="B33" s="7"/>
      <c r="C33" s="7"/>
      <c r="D33" s="16"/>
      <c r="E33" s="7"/>
    </row>
    <row x14ac:dyDescent="0.25" r="34" customHeight="1" ht="19.5">
      <c r="A34" s="8"/>
      <c r="B34" s="7"/>
      <c r="C34" s="7"/>
      <c r="D34" s="16"/>
      <c r="E34" s="7"/>
    </row>
    <row x14ac:dyDescent="0.25" r="35" customHeight="1" ht="18.75">
      <c r="A35" s="6" t="s">
        <v>90</v>
      </c>
      <c r="B35" s="7"/>
      <c r="C35" s="7"/>
      <c r="D35" s="18">
        <v>177925766</v>
      </c>
      <c r="E35" s="7"/>
    </row>
    <row x14ac:dyDescent="0.25" r="36" customHeight="1" ht="18.75">
      <c r="A36" s="14" t="s">
        <v>91</v>
      </c>
      <c r="B36" s="7"/>
      <c r="C36" s="7"/>
      <c r="D36" s="18">
        <v>1603932233</v>
      </c>
      <c r="E36" s="7"/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7"/>
  <sheetViews>
    <sheetView workbookViewId="0" tabSelected="1"/>
  </sheetViews>
  <sheetFormatPr defaultRowHeight="15" x14ac:dyDescent="0.25"/>
  <cols>
    <col min="1" max="1" style="19" width="25.862142857142857" customWidth="1" bestFit="1"/>
    <col min="2" max="2" style="9" width="25.433571428571426" customWidth="1" bestFit="1"/>
    <col min="3" max="3" style="9" width="8.719285714285713" customWidth="1" bestFit="1"/>
    <col min="4" max="4" style="20" width="33.43357142857143" customWidth="1" bestFit="1"/>
  </cols>
  <sheetData>
    <row x14ac:dyDescent="0.25" r="1" customHeight="1" ht="18.75">
      <c r="A1" s="5" t="s">
        <v>41</v>
      </c>
      <c r="B1" s="4"/>
      <c r="C1" s="4"/>
      <c r="D1" s="12"/>
    </row>
    <row x14ac:dyDescent="0.25" r="2" customHeight="1" ht="18.75" customFormat="1" s="1">
      <c r="A2" s="5" t="s">
        <v>42</v>
      </c>
      <c r="B2" s="5"/>
      <c r="C2" s="5"/>
      <c r="D2" s="13"/>
    </row>
    <row x14ac:dyDescent="0.25" r="3" customHeight="1" ht="18.75">
      <c r="A3" s="5" t="s">
        <v>43</v>
      </c>
      <c r="B3" s="4"/>
      <c r="C3" s="4"/>
      <c r="D3" s="12"/>
    </row>
    <row x14ac:dyDescent="0.25" r="4" customHeight="1" ht="18.75">
      <c r="A4" s="14" t="s">
        <v>5</v>
      </c>
      <c r="B4" s="6"/>
      <c r="C4" s="4" t="s">
        <v>44</v>
      </c>
      <c r="D4" s="15">
        <v>2024</v>
      </c>
    </row>
    <row x14ac:dyDescent="0.25" r="5" customHeight="1" ht="18.75">
      <c r="A5" s="14"/>
      <c r="B5" s="7" t="s">
        <v>45</v>
      </c>
      <c r="C5" s="16"/>
      <c r="D5" s="16">
        <v>3676484627</v>
      </c>
    </row>
    <row x14ac:dyDescent="0.25" r="6" customHeight="1" ht="18.75">
      <c r="A6" s="3"/>
      <c r="B6" s="7" t="s">
        <v>46</v>
      </c>
      <c r="C6" s="16"/>
      <c r="D6" s="16">
        <v>1518117</v>
      </c>
    </row>
    <row x14ac:dyDescent="0.25" r="7" customHeight="1" ht="18.75">
      <c r="A7" s="3"/>
      <c r="B7" s="7"/>
      <c r="C7" s="16"/>
      <c r="D7" s="16"/>
    </row>
    <row x14ac:dyDescent="0.25" r="8" customHeight="1" ht="18.75">
      <c r="A8" s="3"/>
      <c r="B8" s="7"/>
      <c r="C8" s="16"/>
      <c r="D8" s="16"/>
    </row>
    <row x14ac:dyDescent="0.25" r="9" customHeight="1" ht="18.75">
      <c r="A9" s="14" t="s">
        <v>47</v>
      </c>
      <c r="B9" s="17"/>
      <c r="C9" s="17"/>
      <c r="D9" s="18">
        <f>SUM(INDEX(D:D,MATCH("Pendapatan",A:A,0)+1):INDEX(D:D,MATCH("Jumlah Pendapatan",A:A,0)-1))</f>
      </c>
    </row>
    <row x14ac:dyDescent="0.25" r="10" customHeight="1" ht="18.75">
      <c r="A10" s="14" t="s">
        <v>6</v>
      </c>
      <c r="B10" s="17"/>
      <c r="C10" s="17"/>
      <c r="D10" s="18"/>
    </row>
    <row x14ac:dyDescent="0.25" r="11" customHeight="1" ht="18.75">
      <c r="A11" s="14"/>
      <c r="B11" s="7" t="s">
        <v>48</v>
      </c>
      <c r="C11" s="7"/>
      <c r="D11" s="16">
        <v>-2233120521</v>
      </c>
    </row>
    <row x14ac:dyDescent="0.25" r="12" customHeight="1" ht="18.75">
      <c r="A12" s="14"/>
      <c r="B12" s="7" t="s">
        <v>49</v>
      </c>
      <c r="C12" s="7"/>
      <c r="D12" s="16">
        <v>-802544545</v>
      </c>
    </row>
    <row x14ac:dyDescent="0.25" r="13" customHeight="1" ht="18.75">
      <c r="A13" s="2"/>
      <c r="B13" s="7" t="s">
        <v>50</v>
      </c>
      <c r="C13" s="7"/>
      <c r="D13" s="16">
        <v>-12000000</v>
      </c>
    </row>
    <row x14ac:dyDescent="0.25" r="14" customHeight="1" ht="18.75">
      <c r="A14" s="2"/>
      <c r="B14" s="7" t="s">
        <v>51</v>
      </c>
      <c r="C14" s="7"/>
      <c r="D14" s="16">
        <v>-10500000</v>
      </c>
    </row>
    <row x14ac:dyDescent="0.25" r="15" customHeight="1" ht="18.75">
      <c r="A15" s="2"/>
      <c r="B15" s="7" t="s">
        <v>52</v>
      </c>
      <c r="C15" s="7"/>
      <c r="D15" s="16">
        <v>-4650000</v>
      </c>
    </row>
    <row x14ac:dyDescent="0.25" r="16" customHeight="1" ht="18.75">
      <c r="A16" s="2"/>
      <c r="B16" s="7" t="s">
        <v>53</v>
      </c>
      <c r="C16" s="7"/>
      <c r="D16" s="16">
        <v>-9555000</v>
      </c>
    </row>
    <row x14ac:dyDescent="0.25" r="17" customHeight="1" ht="18.75">
      <c r="A17" s="3"/>
      <c r="B17" s="7" t="s">
        <v>54</v>
      </c>
      <c r="C17" s="7"/>
      <c r="D17" s="16">
        <v>-2450000</v>
      </c>
    </row>
    <row x14ac:dyDescent="0.25" r="18" customHeight="1" ht="18.75">
      <c r="A18" s="14"/>
      <c r="B18" s="7" t="s">
        <v>55</v>
      </c>
      <c r="C18" s="7"/>
      <c r="D18" s="16">
        <v>-4000000</v>
      </c>
    </row>
    <row x14ac:dyDescent="0.25" r="19" customHeight="1" ht="18.75">
      <c r="A19" s="3"/>
      <c r="B19" s="7" t="s">
        <v>56</v>
      </c>
      <c r="C19" s="7"/>
      <c r="D19" s="16">
        <v>-24400000</v>
      </c>
    </row>
    <row x14ac:dyDescent="0.25" r="20" customHeight="1" ht="18.75">
      <c r="A20" s="3"/>
      <c r="B20" s="7" t="s">
        <v>57</v>
      </c>
      <c r="C20" s="7"/>
      <c r="D20" s="16">
        <v>-600000</v>
      </c>
    </row>
    <row x14ac:dyDescent="0.25" r="21" customHeight="1" ht="18.75">
      <c r="A21" s="14"/>
      <c r="B21" s="7" t="s">
        <v>58</v>
      </c>
      <c r="C21" s="7"/>
      <c r="D21" s="16">
        <v>-2550000</v>
      </c>
    </row>
    <row x14ac:dyDescent="0.25" r="22" customHeight="1" ht="18.75">
      <c r="A22" s="14"/>
      <c r="B22" s="7" t="s">
        <v>59</v>
      </c>
      <c r="C22" s="7"/>
      <c r="D22" s="16">
        <v>-2432000</v>
      </c>
    </row>
    <row x14ac:dyDescent="0.25" r="23" customHeight="1" ht="18.75">
      <c r="A23" s="2"/>
      <c r="B23" s="7" t="s">
        <v>60</v>
      </c>
      <c r="C23" s="7"/>
      <c r="D23" s="16">
        <v>-1500000</v>
      </c>
    </row>
    <row x14ac:dyDescent="0.25" r="24" customHeight="1" ht="18.75">
      <c r="A24" s="2"/>
      <c r="B24" s="7" t="s">
        <v>61</v>
      </c>
      <c r="C24" s="7"/>
      <c r="D24" s="16">
        <v>-72680000</v>
      </c>
    </row>
    <row x14ac:dyDescent="0.25" r="25" customHeight="1" ht="18.75">
      <c r="A25" s="2"/>
      <c r="B25" s="7" t="s">
        <v>62</v>
      </c>
      <c r="C25" s="7"/>
      <c r="D25" s="16">
        <v>-15500000</v>
      </c>
    </row>
    <row x14ac:dyDescent="0.25" r="26" customHeight="1" ht="18.75">
      <c r="A26" s="2"/>
      <c r="B26" s="7" t="s">
        <v>63</v>
      </c>
      <c r="C26" s="7"/>
      <c r="D26" s="16">
        <v>-9600000</v>
      </c>
    </row>
    <row x14ac:dyDescent="0.25" r="27" customHeight="1" ht="18.75">
      <c r="A27" s="2"/>
      <c r="B27" s="7" t="s">
        <v>64</v>
      </c>
      <c r="C27" s="7"/>
      <c r="D27" s="16">
        <v>-4500000</v>
      </c>
    </row>
    <row x14ac:dyDescent="0.25" r="28" customHeight="1" ht="18.75">
      <c r="A28" s="2"/>
      <c r="B28" s="7" t="s">
        <v>65</v>
      </c>
      <c r="C28" s="7"/>
      <c r="D28" s="16">
        <v>-303623</v>
      </c>
    </row>
    <row x14ac:dyDescent="0.25" r="29" customHeight="1" ht="18.75">
      <c r="A29" s="2"/>
      <c r="B29" s="7" t="s">
        <v>66</v>
      </c>
      <c r="C29" s="7"/>
      <c r="D29" s="16">
        <v>-1150000</v>
      </c>
    </row>
    <row x14ac:dyDescent="0.25" r="30" customHeight="1" ht="18.75">
      <c r="A30" s="2"/>
      <c r="B30" s="7"/>
      <c r="C30" s="7"/>
      <c r="D30" s="16"/>
    </row>
    <row x14ac:dyDescent="0.25" r="31" customHeight="1" ht="18.75">
      <c r="A31" s="2"/>
      <c r="B31" s="7"/>
      <c r="C31" s="7"/>
      <c r="D31" s="16"/>
    </row>
    <row x14ac:dyDescent="0.25" r="32" customHeight="1" ht="18.75">
      <c r="A32" s="14" t="s">
        <v>67</v>
      </c>
      <c r="B32" s="7"/>
      <c r="C32" s="7"/>
      <c r="D32" s="16">
        <f>SUM(INDEX(D:D,MATCH("Beban",A:A,0)+1):INDEX(D:D,MATCH("Jumlah Beban",A:A,0)-1))</f>
      </c>
    </row>
    <row x14ac:dyDescent="0.25" r="33" customHeight="1" ht="31.5">
      <c r="A33" s="14" t="s">
        <v>68</v>
      </c>
      <c r="B33" s="7"/>
      <c r="C33" s="7"/>
      <c r="D33" s="16">
        <f>INDEX(D:D,MATCH("Jumlah Pendapatan",A:A,0))+INDEX(D:D,MATCH("Jumlah Beban",A:A,0))</f>
      </c>
    </row>
    <row x14ac:dyDescent="0.25" r="34" customHeight="1" ht="18.75">
      <c r="A34" s="14" t="s">
        <v>69</v>
      </c>
      <c r="B34" s="7"/>
      <c r="C34" s="7"/>
      <c r="D34" s="16"/>
    </row>
    <row x14ac:dyDescent="0.25" r="35" customHeight="1" ht="18.75">
      <c r="A35" s="14"/>
      <c r="B35" s="3" t="s">
        <v>70</v>
      </c>
      <c r="C35" s="7"/>
      <c r="D35" s="16">
        <v>-52808470</v>
      </c>
    </row>
    <row x14ac:dyDescent="0.25" r="36" customHeight="1" ht="18.75">
      <c r="A36" s="14"/>
      <c r="B36" s="3"/>
      <c r="C36" s="7"/>
      <c r="D36" s="16"/>
    </row>
    <row x14ac:dyDescent="0.25" r="37" customHeight="1" ht="18.75">
      <c r="A37" s="14" t="s">
        <v>71</v>
      </c>
      <c r="B37" s="7"/>
      <c r="C37" s="7"/>
      <c r="D37" s="16">
        <f>SUM(INDEX(D:D,MATCH("Beban pajak",A:A,0)+1):INDEX(D:D,MATCH("Laba(Rugi) Setelah Pajak Penghasilan",A:A,0)-1))+INDEX(D:D,MATCH("Laba(Rugi) Sebelum Pajak Penghasilan",A:A,0))</f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7"/>
  <sheetViews>
    <sheetView workbookViewId="0"/>
  </sheetViews>
  <sheetFormatPr defaultRowHeight="15" x14ac:dyDescent="0.25"/>
  <cols>
    <col min="1" max="1" style="9" width="23.005" customWidth="1" bestFit="1"/>
    <col min="2" max="2" style="10" width="26.005" customWidth="1" bestFit="1"/>
    <col min="3" max="3" style="10" width="33.71928571428572" customWidth="1" bestFit="1"/>
    <col min="4" max="4" style="9" width="31.290714285714284" customWidth="1" bestFit="1"/>
    <col min="5" max="5" style="11" width="23.862142857142857" customWidth="1" bestFit="1"/>
    <col min="6" max="6" style="9" width="30.433571428571426" customWidth="1" bestFit="1"/>
    <col min="7" max="7" style="9" width="35.29071428571429" customWidth="1" bestFit="1"/>
  </cols>
  <sheetData>
    <row x14ac:dyDescent="0.25" r="1" customHeight="1" ht="18.75" customFormat="1" s="1">
      <c r="A1" s="2"/>
      <c r="B1" s="2"/>
      <c r="C1" s="2"/>
      <c r="D1" s="3"/>
      <c r="E1" s="3"/>
      <c r="F1" s="2"/>
      <c r="G1" s="2"/>
    </row>
    <row x14ac:dyDescent="0.25" r="2" customHeight="1" ht="18.75" customFormat="1" s="1">
      <c r="A2" s="2"/>
      <c r="B2" s="2"/>
      <c r="C2" s="2"/>
      <c r="D2" s="3"/>
      <c r="E2" s="3"/>
      <c r="F2" s="2"/>
      <c r="G2" s="2"/>
    </row>
    <row x14ac:dyDescent="0.25" r="3" customHeight="1" ht="18.75">
      <c r="A3" s="4" t="s">
        <v>0</v>
      </c>
      <c r="B3" s="4" t="s">
        <v>1</v>
      </c>
      <c r="C3" s="4" t="s">
        <v>2</v>
      </c>
      <c r="D3" s="5" t="s">
        <v>3</v>
      </c>
      <c r="E3" s="5" t="s">
        <v>4</v>
      </c>
      <c r="F3" s="4" t="s">
        <v>5</v>
      </c>
      <c r="G3" s="4" t="s">
        <v>6</v>
      </c>
    </row>
    <row x14ac:dyDescent="0.25" r="4" customHeight="1" ht="15" customFormat="1" s="1">
      <c r="A4" s="3" t="s">
        <v>2</v>
      </c>
      <c r="B4" s="3" t="s">
        <v>5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</row>
    <row x14ac:dyDescent="0.25" r="5" customHeight="1" ht="18" customFormat="1" s="1">
      <c r="A5" s="3" t="s">
        <v>3</v>
      </c>
      <c r="B5" s="3" t="s">
        <v>6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</row>
    <row x14ac:dyDescent="0.25" r="6" customHeight="1" ht="18.75" customFormat="1" s="1">
      <c r="A6" s="3" t="s">
        <v>4</v>
      </c>
      <c r="B6" s="2"/>
      <c r="C6" s="3" t="s">
        <v>17</v>
      </c>
      <c r="D6" s="3" t="s">
        <v>14</v>
      </c>
      <c r="E6" s="3"/>
      <c r="F6" s="3" t="s">
        <v>14</v>
      </c>
      <c r="G6" s="3" t="s">
        <v>18</v>
      </c>
    </row>
    <row x14ac:dyDescent="0.25" r="7" customHeight="1" ht="18.75" customFormat="1" s="1">
      <c r="A7" s="2"/>
      <c r="B7" s="2"/>
      <c r="C7" s="3" t="s">
        <v>14</v>
      </c>
      <c r="D7" s="3"/>
      <c r="E7" s="3"/>
      <c r="F7" s="2"/>
      <c r="G7" s="3" t="s">
        <v>19</v>
      </c>
    </row>
    <row x14ac:dyDescent="0.25" r="8" customHeight="1" ht="18.75" customFormat="1" s="1">
      <c r="A8" s="2"/>
      <c r="B8" s="2"/>
      <c r="C8" s="2"/>
      <c r="D8" s="3"/>
      <c r="E8" s="3"/>
      <c r="F8" s="2"/>
      <c r="G8" s="3" t="s">
        <v>14</v>
      </c>
    </row>
    <row x14ac:dyDescent="0.25" r="9" customHeight="1" ht="18.75" customFormat="1" s="1">
      <c r="A9" s="2"/>
      <c r="B9" s="2"/>
      <c r="C9" s="2"/>
      <c r="D9" s="3"/>
      <c r="E9" s="3"/>
      <c r="F9" s="2"/>
      <c r="G9" s="2"/>
    </row>
    <row x14ac:dyDescent="0.25" r="10" customHeight="1" ht="18.75" customFormat="1" s="1">
      <c r="A10" s="2"/>
      <c r="B10" s="5"/>
      <c r="C10" s="5"/>
      <c r="D10" s="5"/>
      <c r="E10" s="3"/>
      <c r="F10" s="2"/>
      <c r="G10" s="2"/>
    </row>
    <row x14ac:dyDescent="0.25" r="11" customHeight="1" ht="18.75" customFormat="1" s="1">
      <c r="A11" s="2"/>
      <c r="B11" s="3"/>
      <c r="C11" s="2"/>
      <c r="D11" s="3"/>
      <c r="E11" s="3"/>
      <c r="F11" s="2"/>
      <c r="G11" s="2"/>
    </row>
    <row x14ac:dyDescent="0.25" r="12" customHeight="1" ht="18.75" customFormat="1" s="1">
      <c r="A12" s="2"/>
      <c r="B12" s="3"/>
      <c r="C12" s="2"/>
      <c r="D12" s="3"/>
      <c r="E12" s="3"/>
      <c r="F12" s="2"/>
      <c r="G12" s="2"/>
    </row>
    <row x14ac:dyDescent="0.25" r="13" customHeight="1" ht="12.75" customFormat="1" s="1">
      <c r="A13" s="2"/>
      <c r="B13" s="3"/>
      <c r="C13" s="2"/>
      <c r="D13" s="3"/>
      <c r="E13" s="3"/>
      <c r="F13" s="2"/>
      <c r="G13" s="2"/>
    </row>
    <row x14ac:dyDescent="0.25" r="14" customHeight="1" ht="18.75">
      <c r="A14" s="6" t="s">
        <v>20</v>
      </c>
      <c r="B14" s="6"/>
      <c r="C14" s="6" t="s">
        <v>20</v>
      </c>
      <c r="D14" s="6"/>
      <c r="E14" s="3"/>
      <c r="F14" s="7"/>
      <c r="G14" s="7"/>
    </row>
    <row x14ac:dyDescent="0.25" r="15" customHeight="1" ht="18.75">
      <c r="A15" s="6" t="s">
        <v>21</v>
      </c>
      <c r="B15" s="6"/>
      <c r="C15" s="6" t="s">
        <v>22</v>
      </c>
      <c r="D15" s="7"/>
      <c r="E15" s="3"/>
      <c r="F15" s="7"/>
      <c r="G15" s="7"/>
    </row>
    <row x14ac:dyDescent="0.25" r="16" customHeight="1" ht="18.75">
      <c r="A16" s="6" t="s">
        <v>23</v>
      </c>
      <c r="B16" s="6"/>
      <c r="C16" s="6" t="s">
        <v>24</v>
      </c>
      <c r="D16" s="7"/>
      <c r="E16" s="3"/>
      <c r="F16" s="7"/>
      <c r="G16" s="7"/>
    </row>
    <row x14ac:dyDescent="0.25" r="17" customHeight="1" ht="18.75">
      <c r="A17" s="6" t="s">
        <v>25</v>
      </c>
      <c r="B17" s="6"/>
      <c r="C17" s="6" t="s">
        <v>26</v>
      </c>
      <c r="D17" s="7"/>
      <c r="E17" s="3"/>
      <c r="F17" s="7"/>
      <c r="G17" s="7"/>
    </row>
    <row x14ac:dyDescent="0.25" r="18" customHeight="1" ht="18.75">
      <c r="A18" s="6" t="s">
        <v>27</v>
      </c>
      <c r="B18" s="6"/>
      <c r="C18" s="6" t="s">
        <v>28</v>
      </c>
      <c r="D18" s="7"/>
      <c r="E18" s="3"/>
      <c r="F18" s="7"/>
      <c r="G18" s="7"/>
    </row>
    <row x14ac:dyDescent="0.25" r="19" customHeight="1" ht="18.75">
      <c r="A19" s="6" t="s">
        <v>29</v>
      </c>
      <c r="B19" s="6"/>
      <c r="C19" s="6" t="s">
        <v>30</v>
      </c>
      <c r="D19" s="7"/>
      <c r="E19" s="2"/>
      <c r="F19" s="7"/>
      <c r="G19" s="7"/>
    </row>
    <row x14ac:dyDescent="0.25" r="20" customHeight="1" ht="18.75">
      <c r="A20" s="6" t="s">
        <v>31</v>
      </c>
      <c r="B20" s="6"/>
      <c r="C20" s="6" t="s">
        <v>32</v>
      </c>
      <c r="D20" s="7"/>
      <c r="E20" s="2"/>
      <c r="F20" s="7"/>
      <c r="G20" s="7"/>
    </row>
    <row x14ac:dyDescent="0.25" r="21" customHeight="1" ht="18.75">
      <c r="A21" s="7"/>
      <c r="B21" s="8"/>
      <c r="C21" s="6" t="s">
        <v>33</v>
      </c>
      <c r="D21" s="6" t="s">
        <v>34</v>
      </c>
      <c r="E21" s="2"/>
      <c r="F21" s="7"/>
      <c r="G21" s="7"/>
    </row>
    <row x14ac:dyDescent="0.25" r="22" customHeight="1" ht="18.75">
      <c r="A22" s="7"/>
      <c r="B22" s="8"/>
      <c r="C22" s="6" t="s">
        <v>35</v>
      </c>
      <c r="D22" s="6" t="s">
        <v>36</v>
      </c>
      <c r="E22" s="2"/>
      <c r="F22" s="7"/>
      <c r="G22" s="7"/>
    </row>
    <row x14ac:dyDescent="0.25" r="23" customHeight="1" ht="18.75">
      <c r="A23" s="7"/>
      <c r="B23" s="8"/>
      <c r="C23" s="6" t="s">
        <v>37</v>
      </c>
      <c r="D23" s="6" t="s">
        <v>38</v>
      </c>
      <c r="E23" s="2"/>
      <c r="F23" s="7"/>
      <c r="G23" s="7"/>
    </row>
    <row x14ac:dyDescent="0.25" r="24" customHeight="1" ht="18.75">
      <c r="A24" s="7"/>
      <c r="B24" s="8"/>
      <c r="C24" s="6" t="s">
        <v>39</v>
      </c>
      <c r="D24" s="6" t="s">
        <v>40</v>
      </c>
      <c r="E24" s="2"/>
      <c r="F24" s="7"/>
      <c r="G24" s="7"/>
    </row>
    <row x14ac:dyDescent="0.25" r="25" customHeight="1" ht="18.75" customFormat="1" s="1">
      <c r="A25" s="2"/>
      <c r="B25" s="3"/>
      <c r="C25" s="3"/>
      <c r="D25" s="2"/>
      <c r="E25" s="2"/>
      <c r="F25" s="2"/>
      <c r="G25" s="2"/>
    </row>
    <row x14ac:dyDescent="0.25" r="26" customHeight="1" ht="18.75" customFormat="1" s="1">
      <c r="A26" s="2"/>
      <c r="B26" s="3"/>
      <c r="C26" s="3"/>
      <c r="D26" s="2"/>
      <c r="E26" s="2"/>
      <c r="F26" s="2"/>
      <c r="G26" s="2"/>
    </row>
    <row x14ac:dyDescent="0.25" r="27" customHeight="1" ht="18.75" customFormat="1" s="1">
      <c r="A27" s="2"/>
      <c r="B27" s="3"/>
      <c r="C27" s="3"/>
      <c r="D27" s="2"/>
      <c r="E27" s="2"/>
      <c r="F27" s="2"/>
      <c r="G27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Posisi Keuangan</vt:lpstr>
      <vt:lpstr>Laba Rugi</vt:lpstr>
      <vt:lpstr>Referensi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2026-09-27T08:39:02.219Z</dcterms:created>
  <dcterms:modified xsi:type="dcterms:W3CDTF">2026-09-27T08:39:02.219Z</dcterms:modified>
</cp:coreProperties>
</file>